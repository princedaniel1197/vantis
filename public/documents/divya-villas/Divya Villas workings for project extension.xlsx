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SKTOP  FILES - 12.11.2019\30-JDA Projects-Divya Villas-Jesudas\Divya Villas project extension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C15" i="1" l="1"/>
  <c r="B30" i="1"/>
  <c r="B29" i="1"/>
  <c r="B28" i="1"/>
  <c r="B21" i="1"/>
  <c r="C13" i="1"/>
  <c r="B9" i="1"/>
  <c r="B13" i="1" s="1"/>
  <c r="C9" i="1"/>
</calcChain>
</file>

<file path=xl/sharedStrings.xml><?xml version="1.0" encoding="utf-8"?>
<sst xmlns="http://schemas.openxmlformats.org/spreadsheetml/2006/main" count="21" uniqueCount="21">
  <si>
    <t>JDA Projects</t>
  </si>
  <si>
    <t>Project - DIVYA VILLAS</t>
  </si>
  <si>
    <t>Land cost</t>
  </si>
  <si>
    <t>Project Approval</t>
  </si>
  <si>
    <t>Construction cost</t>
  </si>
  <si>
    <t>Borrowings</t>
  </si>
  <si>
    <t>Jamnadas Morarjee Finance Private Limited</t>
  </si>
  <si>
    <t>District Government Officer</t>
  </si>
  <si>
    <t>Loan - Jamnadas Morarjee Finance Private Limited</t>
  </si>
  <si>
    <t>Own incurred as per Source of funds</t>
  </si>
  <si>
    <t>Total source of funds</t>
  </si>
  <si>
    <t>Less: Incurred</t>
  </si>
  <si>
    <t>Balance funds in hand</t>
  </si>
  <si>
    <t>Estimated cost as per CA Certificate</t>
  </si>
  <si>
    <t>Cost Incurred as per CA certificate</t>
  </si>
  <si>
    <t>Interest @ 11% pa</t>
  </si>
  <si>
    <t>Interest for 1 month</t>
  </si>
  <si>
    <t>Interest from 11.01.2023 to 10.01.2026</t>
  </si>
  <si>
    <t>Total Interest payable</t>
  </si>
  <si>
    <t>Total amount payable to Jamnadas with interest</t>
  </si>
  <si>
    <t>Amount to be paid back to Jamnadas Morarjee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</si>
</sst>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0"/>
  <sheetViews>
    <sheetView tabSelected="1" workbookViewId="0">
      <selection activeCell="F15" sqref="F15"/>
    </sheetView>
  </sheetViews>
  <sheetFormatPr defaultRowHeight="15" x14ac:dyDescent="0.25"/>
  <cols>
    <col min="1" max="1" width="46.28515625" bestFit="1" customWidth="1"/>
    <col min="2" max="3" width="15.28515625" bestFit="1" customWidth="1"/>
    <col min="5" max="5" width="46.28515625" bestFit="1" customWidth="1"/>
    <col min="6" max="6" width="15.28515625" bestFit="1" customWidth="1"/>
  </cols>
  <sheetData>
    <row r="2" spans="1:6" x14ac:dyDescent="0.25">
      <c r="A2" t="s">
        <v>0</v>
      </c>
    </row>
    <row r="3" spans="1:6" x14ac:dyDescent="0.25">
      <c r="A3" t="s">
        <v>1</v>
      </c>
    </row>
    <row r="5" spans="1:6" x14ac:dyDescent="0.25">
      <c r="B5" t="s">
        <v>13</v>
      </c>
      <c r="C5" t="s">
        <v>14</v>
      </c>
    </row>
    <row r="6" spans="1:6" x14ac:dyDescent="0.25">
      <c r="A6" t="s">
        <v>2</v>
      </c>
      <c r="B6" s="1">
        <v>75000000</v>
      </c>
      <c r="C6" s="1">
        <v>99785446</v>
      </c>
    </row>
    <row r="7" spans="1:6" x14ac:dyDescent="0.25">
      <c r="A7" t="s">
        <v>3</v>
      </c>
      <c r="B7" s="1">
        <v>23500000</v>
      </c>
      <c r="C7" s="1">
        <v>2340755</v>
      </c>
    </row>
    <row r="8" spans="1:6" x14ac:dyDescent="0.25">
      <c r="B8" s="1"/>
      <c r="C8" s="1"/>
    </row>
    <row r="9" spans="1:6" x14ac:dyDescent="0.25">
      <c r="B9" s="1">
        <f t="shared" ref="B9:C9" si="0">SUM(B6:B8)</f>
        <v>98500000</v>
      </c>
      <c r="C9" s="1">
        <f t="shared" si="0"/>
        <v>102126201</v>
      </c>
      <c r="E9" t="s">
        <v>20</v>
      </c>
      <c r="F9" s="1">
        <v>102500000</v>
      </c>
    </row>
    <row r="10" spans="1:6" x14ac:dyDescent="0.25">
      <c r="B10" s="1"/>
      <c r="C10" s="1"/>
      <c r="E10" t="s">
        <v>15</v>
      </c>
      <c r="F10" s="1">
        <f>F9*11%</f>
        <v>11275000</v>
      </c>
    </row>
    <row r="11" spans="1:6" x14ac:dyDescent="0.25">
      <c r="A11" t="s">
        <v>4</v>
      </c>
      <c r="B11" s="1">
        <v>40000000</v>
      </c>
      <c r="C11" s="1">
        <v>37772857</v>
      </c>
      <c r="E11" t="s">
        <v>16</v>
      </c>
      <c r="F11" s="1">
        <f>F10/12</f>
        <v>939583.33333333337</v>
      </c>
    </row>
    <row r="12" spans="1:6" x14ac:dyDescent="0.25">
      <c r="B12" s="1"/>
      <c r="C12" s="1"/>
      <c r="E12" t="s">
        <v>17</v>
      </c>
      <c r="F12" s="1">
        <f>2+12+12+10</f>
        <v>36</v>
      </c>
    </row>
    <row r="13" spans="1:6" x14ac:dyDescent="0.25">
      <c r="B13" s="1">
        <f>B9+B11</f>
        <v>138500000</v>
      </c>
      <c r="C13" s="1">
        <f>C9+C11</f>
        <v>139899058</v>
      </c>
      <c r="E13" t="s">
        <v>18</v>
      </c>
      <c r="F13" s="1">
        <f>F11*F12</f>
        <v>33825000</v>
      </c>
    </row>
    <row r="14" spans="1:6" x14ac:dyDescent="0.25">
      <c r="B14" s="1"/>
      <c r="C14" s="1"/>
      <c r="E14" t="s">
        <v>19</v>
      </c>
      <c r="F14" s="1">
        <f>F9+F13</f>
        <v>136325000</v>
      </c>
    </row>
    <row r="15" spans="1:6" x14ac:dyDescent="0.25">
      <c r="B15" s="1"/>
      <c r="C15" s="1">
        <f>C11/B11%</f>
        <v>94.432142499999998</v>
      </c>
    </row>
    <row r="16" spans="1:6" x14ac:dyDescent="0.25">
      <c r="B16" s="1"/>
      <c r="C16" s="1"/>
    </row>
    <row r="17" spans="1:3" x14ac:dyDescent="0.25">
      <c r="A17" t="s">
        <v>5</v>
      </c>
      <c r="B17" s="1"/>
      <c r="C17" s="1"/>
    </row>
    <row r="18" spans="1:3" x14ac:dyDescent="0.25">
      <c r="A18" t="s">
        <v>6</v>
      </c>
      <c r="B18" s="1">
        <v>102500000</v>
      </c>
      <c r="C18" s="1"/>
    </row>
    <row r="19" spans="1:3" x14ac:dyDescent="0.25">
      <c r="A19" t="s">
        <v>7</v>
      </c>
      <c r="B19" s="1">
        <v>47299941</v>
      </c>
      <c r="C19" s="1"/>
    </row>
    <row r="20" spans="1:3" x14ac:dyDescent="0.25">
      <c r="B20" s="1"/>
      <c r="C20" s="1"/>
    </row>
    <row r="21" spans="1:3" x14ac:dyDescent="0.25">
      <c r="B21" s="1">
        <f>SUM(B18:B20)</f>
        <v>149799941</v>
      </c>
      <c r="C21" s="1"/>
    </row>
    <row r="25" spans="1:3" x14ac:dyDescent="0.25">
      <c r="A25" t="s">
        <v>9</v>
      </c>
      <c r="B25" s="1">
        <v>98500000</v>
      </c>
    </row>
    <row r="26" spans="1:3" x14ac:dyDescent="0.25">
      <c r="A26" t="s">
        <v>8</v>
      </c>
      <c r="B26" s="1">
        <v>45500000</v>
      </c>
    </row>
    <row r="28" spans="1:3" x14ac:dyDescent="0.25">
      <c r="A28" t="s">
        <v>10</v>
      </c>
      <c r="B28" s="2">
        <f>SUM(B25:B27)</f>
        <v>144000000</v>
      </c>
    </row>
    <row r="29" spans="1:3" x14ac:dyDescent="0.25">
      <c r="A29" t="s">
        <v>11</v>
      </c>
      <c r="B29" s="2">
        <f>+C13</f>
        <v>139899058</v>
      </c>
    </row>
    <row r="30" spans="1:3" x14ac:dyDescent="0.25">
      <c r="A30" t="s">
        <v>12</v>
      </c>
      <c r="B30" s="2">
        <f>B28-B29</f>
        <v>4100942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2025-12-06T19:54:48Z</dcterms:created>
  <dcterms:modified xsi:type="dcterms:W3CDTF">2025-12-06T23:18:46Z</dcterms:modified>
</cp:coreProperties>
</file>